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매출" sheetId="1" state="visible" r:id="rId1"/>
    <sheet xmlns:r="http://schemas.openxmlformats.org/officeDocument/2006/relationships" name="직원인사" sheetId="2" state="visible" r:id="rId2"/>
    <sheet xmlns:r="http://schemas.openxmlformats.org/officeDocument/2006/relationships" name="재고관리" sheetId="3" state="visible" r:id="rId3"/>
    <sheet xmlns:r="http://schemas.openxmlformats.org/officeDocument/2006/relationships" name="고객CRM" sheetId="4" state="visible" r:id="rId4"/>
    <sheet xmlns:r="http://schemas.openxmlformats.org/officeDocument/2006/relationships" name="프로젝트현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</font>
    <font>
      <b val="1"/>
      <color rgb="001a237e"/>
    </font>
    <font>
      <b val="1"/>
      <sz val="13"/>
    </font>
    <font>
      <b val="1"/>
      <color rgb="00FFFFFF"/>
      <sz val="13"/>
    </font>
  </fonts>
  <fills count="21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F5F5F5"/>
      </patternFill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c62828"/>
      </patternFill>
    </fill>
    <fill>
      <patternFill patternType="solid">
        <fgColor rgb="00F1F8E9"/>
      </patternFill>
    </fill>
    <fill>
      <patternFill patternType="solid">
        <fgColor rgb="00FFF8E1"/>
      </patternFill>
    </fill>
    <fill>
      <patternFill patternType="solid">
        <fgColor rgb="00FFF3F3"/>
      </patternFill>
    </fill>
    <fill>
      <patternFill patternType="solid">
        <fgColor rgb="004a148c"/>
      </patternFill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e65100"/>
      </patternFill>
    </fill>
    <fill>
      <patternFill patternType="solid">
        <fgColor rgb="00f57c00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3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6" fillId="5" borderId="0" pivotButton="0" quotePrefix="0" xfId="0"/>
    <xf numFmtId="0" fontId="2" fillId="6" borderId="0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3" fontId="0" fillId="7" borderId="1" applyAlignment="1" pivotButton="0" quotePrefix="0" xfId="0">
      <alignment horizontal="center"/>
    </xf>
    <xf numFmtId="0" fontId="6" fillId="8" borderId="0" pivotButton="0" quotePrefix="0" xfId="0"/>
    <xf numFmtId="0" fontId="2" fillId="9" borderId="0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left"/>
    </xf>
    <xf numFmtId="3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left"/>
    </xf>
    <xf numFmtId="3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2" borderId="1" applyAlignment="1" pivotButton="0" quotePrefix="0" xfId="0">
      <alignment horizontal="left"/>
    </xf>
    <xf numFmtId="3" fontId="0" fillId="12" borderId="1" applyAlignment="1" pivotButton="0" quotePrefix="0" xfId="0">
      <alignment horizontal="center"/>
    </xf>
    <xf numFmtId="0" fontId="6" fillId="13" borderId="0" pivotButton="0" quotePrefix="0" xfId="0"/>
    <xf numFmtId="0" fontId="2" fillId="14" borderId="0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5" borderId="1" applyAlignment="1" pivotButton="0" quotePrefix="0" xfId="0">
      <alignment horizontal="left"/>
    </xf>
    <xf numFmtId="3" fontId="0" fillId="15" borderId="1" applyAlignment="1" pivotButton="0" quotePrefix="0" xfId="0">
      <alignment horizontal="center"/>
    </xf>
    <xf numFmtId="0" fontId="6" fillId="16" borderId="0" pivotButton="0" quotePrefix="0" xfId="0"/>
    <xf numFmtId="0" fontId="2" fillId="17" borderId="0" applyAlignment="1" pivotButton="0" quotePrefix="0" xfId="0">
      <alignment horizontal="center"/>
    </xf>
    <xf numFmtId="0" fontId="0" fillId="19" borderId="1" applyAlignment="1" pivotButton="0" quotePrefix="0" xfId="0">
      <alignment horizontal="left"/>
    </xf>
    <xf numFmtId="0" fontId="0" fillId="18" borderId="1" applyAlignment="1" pivotButton="0" quotePrefix="0" xfId="0">
      <alignment horizontal="center"/>
    </xf>
    <xf numFmtId="0" fontId="0" fillId="2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㈜넥서스AI — 2026년 월별 사업 성과 보고서</t>
        </is>
      </c>
    </row>
    <row r="3">
      <c r="A3" s="2" t="inlineStr">
        <is>
          <t>월</t>
        </is>
      </c>
      <c r="B3" s="2" t="inlineStr">
        <is>
          <t>구분</t>
        </is>
      </c>
      <c r="C3" s="2" t="inlineStr">
        <is>
          <t>온라인</t>
        </is>
      </c>
      <c r="D3" s="2" t="inlineStr">
        <is>
          <t>오프라인</t>
        </is>
      </c>
      <c r="E3" s="2" t="inlineStr">
        <is>
          <t>해외</t>
        </is>
      </c>
      <c r="F3" s="2" t="inlineStr">
        <is>
          <t>합계</t>
        </is>
      </c>
      <c r="G3" s="2" t="inlineStr">
        <is>
          <t>전월대비(%)</t>
        </is>
      </c>
      <c r="H3" s="2" t="inlineStr">
        <is>
          <t>목표</t>
        </is>
      </c>
      <c r="I3" s="2" t="inlineStr">
        <is>
          <t>달성률(%)</t>
        </is>
      </c>
      <c r="J3" s="2" t="inlineStr">
        <is>
          <t>비고</t>
        </is>
      </c>
    </row>
    <row r="4">
      <c r="A4" s="3" t="inlineStr">
        <is>
          <t>1월</t>
        </is>
      </c>
      <c r="B4" s="4" t="inlineStr">
        <is>
          <t>Free→Pro 전환</t>
        </is>
      </c>
      <c r="C4" s="5" t="n">
        <v>9560000</v>
      </c>
      <c r="D4" s="5" t="n">
        <v>1250000</v>
      </c>
      <c r="E4" s="5" t="n">
        <v>1900000</v>
      </c>
      <c r="F4" s="5" t="n">
        <v>12710000</v>
      </c>
      <c r="G4" s="6" t="inlineStr"/>
      <c r="H4" s="5" t="n">
        <v>18030000</v>
      </c>
      <c r="I4" s="6" t="n">
        <v>70.5</v>
      </c>
      <c r="J4" s="3" t="inlineStr"/>
    </row>
    <row r="5">
      <c r="A5" s="3" t="inlineStr"/>
      <c r="B5" s="4" t="inlineStr">
        <is>
          <t>Pro+ 업그레이드</t>
        </is>
      </c>
      <c r="C5" s="5" t="n">
        <v>14140000</v>
      </c>
      <c r="D5" s="5" t="n">
        <v>2420000</v>
      </c>
      <c r="E5" s="5" t="n">
        <v>1020000</v>
      </c>
      <c r="F5" s="5" t="n">
        <v>17580000</v>
      </c>
      <c r="G5" s="6" t="inlineStr"/>
      <c r="H5" s="5" t="n">
        <v>30330000</v>
      </c>
      <c r="I5" s="6" t="n">
        <v>58</v>
      </c>
      <c r="J5" s="3" t="inlineStr"/>
    </row>
    <row r="6">
      <c r="A6" s="3" t="inlineStr"/>
      <c r="B6" s="4" t="inlineStr">
        <is>
          <t>Team 신규</t>
        </is>
      </c>
      <c r="C6" s="5" t="n">
        <v>8560000</v>
      </c>
      <c r="D6" s="5" t="n">
        <v>7040000</v>
      </c>
      <c r="E6" s="5" t="n">
        <v>2660000</v>
      </c>
      <c r="F6" s="5" t="n">
        <v>18260000</v>
      </c>
      <c r="G6" s="6" t="inlineStr"/>
      <c r="H6" s="5" t="n">
        <v>9300000</v>
      </c>
      <c r="I6" s="6" t="n">
        <v>196.3</v>
      </c>
      <c r="J6" s="3" t="inlineStr">
        <is>
          <t>초과달성🎉</t>
        </is>
      </c>
    </row>
    <row r="7">
      <c r="A7" s="3" t="inlineStr"/>
      <c r="B7" s="4" t="inlineStr">
        <is>
          <t>Enterprise 계약</t>
        </is>
      </c>
      <c r="C7" s="5" t="n">
        <v>6220000</v>
      </c>
      <c r="D7" s="5" t="n">
        <v>1950000</v>
      </c>
      <c r="E7" s="5" t="n">
        <v>1610000</v>
      </c>
      <c r="F7" s="5" t="n">
        <v>9780000</v>
      </c>
      <c r="G7" s="6" t="inlineStr"/>
      <c r="H7" s="5" t="n">
        <v>17520000</v>
      </c>
      <c r="I7" s="6" t="n">
        <v>55.8</v>
      </c>
      <c r="J7" s="3" t="inlineStr"/>
    </row>
    <row r="9">
      <c r="A9" s="7" t="inlineStr">
        <is>
          <t>2월</t>
        </is>
      </c>
      <c r="B9" s="8" t="inlineStr">
        <is>
          <t>Free→Pro 전환</t>
        </is>
      </c>
      <c r="C9" s="9" t="n">
        <v>25690000</v>
      </c>
      <c r="D9" s="9" t="n">
        <v>7160000</v>
      </c>
      <c r="E9" s="9" t="n">
        <v>630000</v>
      </c>
      <c r="F9" s="9" t="n">
        <v>33480000</v>
      </c>
      <c r="G9" s="10" t="n">
        <v>163.4</v>
      </c>
      <c r="H9" s="9" t="n">
        <v>30980000</v>
      </c>
      <c r="I9" s="10" t="n">
        <v>108.1</v>
      </c>
      <c r="J9" s="7" t="inlineStr">
        <is>
          <t>초과달성🎉</t>
        </is>
      </c>
    </row>
    <row r="10">
      <c r="A10" s="7" t="inlineStr"/>
      <c r="B10" s="8" t="inlineStr">
        <is>
          <t>Pro+ 업그레이드</t>
        </is>
      </c>
      <c r="C10" s="9" t="n">
        <v>13140000</v>
      </c>
      <c r="D10" s="9" t="n">
        <v>7650000</v>
      </c>
      <c r="E10" s="9" t="n">
        <v>3290000</v>
      </c>
      <c r="F10" s="9" t="n">
        <v>24080000</v>
      </c>
      <c r="G10" s="10" t="inlineStr"/>
      <c r="H10" s="9" t="n">
        <v>25180000</v>
      </c>
      <c r="I10" s="10" t="n">
        <v>95.59999999999999</v>
      </c>
      <c r="J10" s="7" t="inlineStr"/>
    </row>
    <row r="11">
      <c r="A11" s="7" t="inlineStr"/>
      <c r="B11" s="8" t="inlineStr">
        <is>
          <t>Team 신규</t>
        </is>
      </c>
      <c r="C11" s="9" t="n">
        <v>14020000</v>
      </c>
      <c r="D11" s="9" t="n">
        <v>5590000</v>
      </c>
      <c r="E11" s="9" t="n">
        <v>3510000</v>
      </c>
      <c r="F11" s="9" t="n">
        <v>23120000</v>
      </c>
      <c r="G11" s="10" t="inlineStr"/>
      <c r="H11" s="9" t="n">
        <v>19390000</v>
      </c>
      <c r="I11" s="10" t="n">
        <v>119.2</v>
      </c>
      <c r="J11" s="7" t="inlineStr">
        <is>
          <t>초과달성🎉</t>
        </is>
      </c>
    </row>
    <row r="12">
      <c r="A12" s="7" t="inlineStr"/>
      <c r="B12" s="8" t="inlineStr">
        <is>
          <t>Enterprise 계약</t>
        </is>
      </c>
      <c r="C12" s="9" t="n">
        <v>5260000</v>
      </c>
      <c r="D12" s="9" t="n">
        <v>2630000</v>
      </c>
      <c r="E12" s="9" t="n">
        <v>2660000</v>
      </c>
      <c r="F12" s="9" t="n">
        <v>10550000</v>
      </c>
      <c r="G12" s="10" t="inlineStr"/>
      <c r="H12" s="9" t="n">
        <v>21930000</v>
      </c>
      <c r="I12" s="10" t="n">
        <v>48.1</v>
      </c>
      <c r="J12" s="7" t="inlineStr"/>
    </row>
    <row r="14">
      <c r="A14" s="3" t="inlineStr">
        <is>
          <t>3월</t>
        </is>
      </c>
      <c r="B14" s="4" t="inlineStr">
        <is>
          <t>Free→Pro 전환</t>
        </is>
      </c>
      <c r="C14" s="5" t="n">
        <v>16380000</v>
      </c>
      <c r="D14" s="5" t="n">
        <v>2590000</v>
      </c>
      <c r="E14" s="5" t="n">
        <v>1600000</v>
      </c>
      <c r="F14" s="5" t="n">
        <v>20570000</v>
      </c>
      <c r="G14" s="6" t="n">
        <v>-38.6</v>
      </c>
      <c r="H14" s="5" t="n">
        <v>21780000</v>
      </c>
      <c r="I14" s="6" t="n">
        <v>94.40000000000001</v>
      </c>
      <c r="J14" s="3" t="inlineStr"/>
    </row>
    <row r="15">
      <c r="A15" s="3" t="inlineStr"/>
      <c r="B15" s="4" t="inlineStr">
        <is>
          <t>Pro+ 업그레이드</t>
        </is>
      </c>
      <c r="C15" s="5" t="n">
        <v>9180000</v>
      </c>
      <c r="D15" s="5" t="n">
        <v>1940000</v>
      </c>
      <c r="E15" s="5" t="n">
        <v>2440000</v>
      </c>
      <c r="F15" s="5" t="n">
        <v>13560000</v>
      </c>
      <c r="G15" s="6" t="inlineStr"/>
      <c r="H15" s="5" t="n">
        <v>11960000</v>
      </c>
      <c r="I15" s="6" t="n">
        <v>113.4</v>
      </c>
      <c r="J15" s="3" t="inlineStr">
        <is>
          <t>초과달성🎉</t>
        </is>
      </c>
    </row>
    <row r="16">
      <c r="A16" s="3" t="inlineStr"/>
      <c r="B16" s="4" t="inlineStr">
        <is>
          <t>Team 신규</t>
        </is>
      </c>
      <c r="C16" s="5" t="n">
        <v>19700000</v>
      </c>
      <c r="D16" s="5" t="n">
        <v>4520000</v>
      </c>
      <c r="E16" s="5" t="n">
        <v>3590000</v>
      </c>
      <c r="F16" s="5" t="n">
        <v>27810000</v>
      </c>
      <c r="G16" s="6" t="inlineStr"/>
      <c r="H16" s="5" t="n">
        <v>18830000</v>
      </c>
      <c r="I16" s="6" t="n">
        <v>147.7</v>
      </c>
      <c r="J16" s="3" t="inlineStr">
        <is>
          <t>초과달성🎉</t>
        </is>
      </c>
    </row>
    <row r="17">
      <c r="A17" s="3" t="inlineStr"/>
      <c r="B17" s="4" t="inlineStr">
        <is>
          <t>Enterprise 계약</t>
        </is>
      </c>
      <c r="C17" s="5" t="n">
        <v>6770000</v>
      </c>
      <c r="D17" s="5" t="n">
        <v>5700000</v>
      </c>
      <c r="E17" s="5" t="n">
        <v>3240000</v>
      </c>
      <c r="F17" s="5" t="n">
        <v>15710000</v>
      </c>
      <c r="G17" s="6" t="inlineStr"/>
      <c r="H17" s="5" t="n">
        <v>13110000</v>
      </c>
      <c r="I17" s="6" t="n">
        <v>119.8</v>
      </c>
      <c r="J17" s="3" t="inlineStr">
        <is>
          <t>초과달성🎉</t>
        </is>
      </c>
    </row>
    <row r="19">
      <c r="A19" s="7" t="inlineStr">
        <is>
          <t>4월</t>
        </is>
      </c>
      <c r="B19" s="8" t="inlineStr">
        <is>
          <t>Free→Pro 전환</t>
        </is>
      </c>
      <c r="C19" s="9" t="n">
        <v>20500000</v>
      </c>
      <c r="D19" s="9" t="n">
        <v>1800000</v>
      </c>
      <c r="E19" s="9" t="n">
        <v>3320000</v>
      </c>
      <c r="F19" s="9" t="n">
        <v>25620000</v>
      </c>
      <c r="G19" s="10" t="n">
        <v>24.6</v>
      </c>
      <c r="H19" s="9" t="n">
        <v>20000000</v>
      </c>
      <c r="I19" s="10" t="n">
        <v>128.1</v>
      </c>
      <c r="J19" s="7" t="inlineStr">
        <is>
          <t>초과달성🎉</t>
        </is>
      </c>
    </row>
    <row r="20">
      <c r="A20" s="7" t="inlineStr"/>
      <c r="B20" s="8" t="inlineStr">
        <is>
          <t>Pro+ 업그레이드</t>
        </is>
      </c>
      <c r="C20" s="9" t="n">
        <v>19810000</v>
      </c>
      <c r="D20" s="9" t="n">
        <v>6910000</v>
      </c>
      <c r="E20" s="9" t="n">
        <v>1480000</v>
      </c>
      <c r="F20" s="9" t="n">
        <v>28200000</v>
      </c>
      <c r="G20" s="10" t="inlineStr"/>
      <c r="H20" s="9" t="n">
        <v>10840000</v>
      </c>
      <c r="I20" s="10" t="n">
        <v>260.1</v>
      </c>
      <c r="J20" s="7" t="inlineStr">
        <is>
          <t>초과달성🎉</t>
        </is>
      </c>
    </row>
    <row r="21">
      <c r="A21" s="7" t="inlineStr"/>
      <c r="B21" s="8" t="inlineStr">
        <is>
          <t>Team 신규</t>
        </is>
      </c>
      <c r="C21" s="9" t="n">
        <v>6870000</v>
      </c>
      <c r="D21" s="9" t="n">
        <v>7770000</v>
      </c>
      <c r="E21" s="9" t="n">
        <v>1660000</v>
      </c>
      <c r="F21" s="9" t="n">
        <v>16300000</v>
      </c>
      <c r="G21" s="10" t="inlineStr"/>
      <c r="H21" s="9" t="n">
        <v>19850000</v>
      </c>
      <c r="I21" s="10" t="n">
        <v>82.09999999999999</v>
      </c>
      <c r="J21" s="7" t="inlineStr"/>
    </row>
    <row r="22">
      <c r="A22" s="7" t="inlineStr"/>
      <c r="B22" s="8" t="inlineStr">
        <is>
          <t>Enterprise 계약</t>
        </is>
      </c>
      <c r="C22" s="9" t="n">
        <v>8260000</v>
      </c>
      <c r="D22" s="9" t="n">
        <v>3380000</v>
      </c>
      <c r="E22" s="9" t="n">
        <v>1010000</v>
      </c>
      <c r="F22" s="9" t="n">
        <v>12650000</v>
      </c>
      <c r="G22" s="10" t="inlineStr"/>
      <c r="H22" s="9" t="n">
        <v>23560000</v>
      </c>
      <c r="I22" s="10" t="n">
        <v>53.7</v>
      </c>
      <c r="J22" s="7" t="inlineStr"/>
    </row>
    <row r="24">
      <c r="A24" s="3" t="inlineStr">
        <is>
          <t>5월</t>
        </is>
      </c>
      <c r="B24" s="4" t="inlineStr">
        <is>
          <t>Free→Pro 전환</t>
        </is>
      </c>
      <c r="C24" s="5" t="n">
        <v>16380000</v>
      </c>
      <c r="D24" s="5" t="n">
        <v>5640000</v>
      </c>
      <c r="E24" s="5" t="n">
        <v>3750000</v>
      </c>
      <c r="F24" s="5" t="n">
        <v>25770000</v>
      </c>
      <c r="G24" s="6" t="n">
        <v>0.6</v>
      </c>
      <c r="H24" s="5" t="n">
        <v>22940000</v>
      </c>
      <c r="I24" s="6" t="n">
        <v>112.3</v>
      </c>
      <c r="J24" s="3" t="inlineStr">
        <is>
          <t>초과달성🎉</t>
        </is>
      </c>
    </row>
    <row r="25">
      <c r="A25" s="3" t="inlineStr"/>
      <c r="B25" s="4" t="inlineStr">
        <is>
          <t>Pro+ 업그레이드</t>
        </is>
      </c>
      <c r="C25" s="5" t="n">
        <v>11660000</v>
      </c>
      <c r="D25" s="5" t="n">
        <v>4790000</v>
      </c>
      <c r="E25" s="5" t="n">
        <v>2310000</v>
      </c>
      <c r="F25" s="5" t="n">
        <v>18760000</v>
      </c>
      <c r="G25" s="6" t="inlineStr"/>
      <c r="H25" s="5" t="n">
        <v>16580000</v>
      </c>
      <c r="I25" s="6" t="n">
        <v>113.1</v>
      </c>
      <c r="J25" s="3" t="inlineStr">
        <is>
          <t>초과달성🎉</t>
        </is>
      </c>
    </row>
    <row r="26">
      <c r="A26" s="3" t="inlineStr"/>
      <c r="B26" s="4" t="inlineStr">
        <is>
          <t>Team 신규</t>
        </is>
      </c>
      <c r="C26" s="5" t="n">
        <v>15930000</v>
      </c>
      <c r="D26" s="5" t="n">
        <v>7990000</v>
      </c>
      <c r="E26" s="5" t="n">
        <v>3810000</v>
      </c>
      <c r="F26" s="5" t="n">
        <v>27730000</v>
      </c>
      <c r="G26" s="6" t="inlineStr"/>
      <c r="H26" s="5" t="n">
        <v>10920000</v>
      </c>
      <c r="I26" s="6" t="n">
        <v>253.9</v>
      </c>
      <c r="J26" s="3" t="inlineStr">
        <is>
          <t>초과달성🎉</t>
        </is>
      </c>
    </row>
    <row r="27">
      <c r="A27" s="3" t="inlineStr"/>
      <c r="B27" s="4" t="inlineStr">
        <is>
          <t>Enterprise 계약</t>
        </is>
      </c>
      <c r="C27" s="5" t="n">
        <v>29950000</v>
      </c>
      <c r="D27" s="5" t="n">
        <v>7500000</v>
      </c>
      <c r="E27" s="5" t="n">
        <v>1370000</v>
      </c>
      <c r="F27" s="5" t="n">
        <v>38820000</v>
      </c>
      <c r="G27" s="6" t="inlineStr"/>
      <c r="H27" s="5" t="n">
        <v>29870000</v>
      </c>
      <c r="I27" s="6" t="n">
        <v>130</v>
      </c>
      <c r="J27" s="3" t="inlineStr">
        <is>
          <t>초과달성🎉</t>
        </is>
      </c>
    </row>
    <row r="29">
      <c r="A29" s="7" t="inlineStr">
        <is>
          <t>6월</t>
        </is>
      </c>
      <c r="B29" s="8" t="inlineStr">
        <is>
          <t>Free→Pro 전환</t>
        </is>
      </c>
      <c r="C29" s="9" t="n">
        <v>15020000</v>
      </c>
      <c r="D29" s="9" t="n">
        <v>2670000</v>
      </c>
      <c r="E29" s="9" t="n">
        <v>2860000</v>
      </c>
      <c r="F29" s="9" t="n">
        <v>20550000</v>
      </c>
      <c r="G29" s="10" t="n">
        <v>-20.3</v>
      </c>
      <c r="H29" s="9" t="n">
        <v>23540000</v>
      </c>
      <c r="I29" s="10" t="n">
        <v>87.3</v>
      </c>
      <c r="J29" s="7" t="inlineStr"/>
    </row>
    <row r="30">
      <c r="A30" s="7" t="inlineStr"/>
      <c r="B30" s="8" t="inlineStr">
        <is>
          <t>Pro+ 업그레이드</t>
        </is>
      </c>
      <c r="C30" s="9" t="n">
        <v>16050000</v>
      </c>
      <c r="D30" s="9" t="n">
        <v>7550000</v>
      </c>
      <c r="E30" s="9" t="n">
        <v>3350000</v>
      </c>
      <c r="F30" s="9" t="n">
        <v>26950000</v>
      </c>
      <c r="G30" s="10" t="inlineStr"/>
      <c r="H30" s="9" t="n">
        <v>16990000</v>
      </c>
      <c r="I30" s="10" t="n">
        <v>158.6</v>
      </c>
      <c r="J30" s="7" t="inlineStr">
        <is>
          <t>초과달성🎉</t>
        </is>
      </c>
    </row>
    <row r="31">
      <c r="A31" s="7" t="inlineStr"/>
      <c r="B31" s="8" t="inlineStr">
        <is>
          <t>Team 신규</t>
        </is>
      </c>
      <c r="C31" s="9" t="n">
        <v>18280000</v>
      </c>
      <c r="D31" s="9" t="n">
        <v>1570000</v>
      </c>
      <c r="E31" s="9" t="n">
        <v>1670000</v>
      </c>
      <c r="F31" s="9" t="n">
        <v>21520000</v>
      </c>
      <c r="G31" s="10" t="inlineStr"/>
      <c r="H31" s="9" t="n">
        <v>9310000</v>
      </c>
      <c r="I31" s="10" t="n">
        <v>231.1</v>
      </c>
      <c r="J31" s="7" t="inlineStr">
        <is>
          <t>초과달성🎉</t>
        </is>
      </c>
    </row>
    <row r="32">
      <c r="A32" s="7" t="inlineStr"/>
      <c r="B32" s="8" t="inlineStr">
        <is>
          <t>Enterprise 계약</t>
        </is>
      </c>
      <c r="C32" s="9" t="n">
        <v>17920000</v>
      </c>
      <c r="D32" s="9" t="n">
        <v>5100000</v>
      </c>
      <c r="E32" s="9" t="n">
        <v>1870000</v>
      </c>
      <c r="F32" s="9" t="n">
        <v>24890000</v>
      </c>
      <c r="G32" s="10" t="inlineStr"/>
      <c r="H32" s="9" t="n">
        <v>10710000</v>
      </c>
      <c r="I32" s="10" t="n">
        <v>232.4</v>
      </c>
      <c r="J32" s="7" t="inlineStr">
        <is>
          <t>초과달성🎉</t>
        </is>
      </c>
    </row>
    <row r="34">
      <c r="A34" s="3" t="inlineStr">
        <is>
          <t>7월</t>
        </is>
      </c>
      <c r="B34" s="4" t="inlineStr">
        <is>
          <t>Free→Pro 전환</t>
        </is>
      </c>
      <c r="C34" s="5" t="n">
        <v>13640000</v>
      </c>
      <c r="D34" s="5" t="n">
        <v>6800000</v>
      </c>
      <c r="E34" s="5" t="n">
        <v>2110000</v>
      </c>
      <c r="F34" s="5" t="n">
        <v>22550000</v>
      </c>
      <c r="G34" s="6" t="n">
        <v>9.699999999999999</v>
      </c>
      <c r="H34" s="5" t="n">
        <v>16700000</v>
      </c>
      <c r="I34" s="6" t="n">
        <v>135</v>
      </c>
      <c r="J34" s="3" t="inlineStr">
        <is>
          <t>초과달성🎉</t>
        </is>
      </c>
    </row>
    <row r="35">
      <c r="A35" s="3" t="inlineStr"/>
      <c r="B35" s="4" t="inlineStr">
        <is>
          <t>Pro+ 업그레이드</t>
        </is>
      </c>
      <c r="C35" s="5" t="n">
        <v>25440000</v>
      </c>
      <c r="D35" s="5" t="n">
        <v>5050000</v>
      </c>
      <c r="E35" s="5" t="n">
        <v>3790000</v>
      </c>
      <c r="F35" s="5" t="n">
        <v>34280000</v>
      </c>
      <c r="G35" s="6" t="inlineStr"/>
      <c r="H35" s="5" t="n">
        <v>26790000</v>
      </c>
      <c r="I35" s="6" t="n">
        <v>128</v>
      </c>
      <c r="J35" s="3" t="inlineStr">
        <is>
          <t>초과달성🎉</t>
        </is>
      </c>
    </row>
    <row r="36">
      <c r="A36" s="3" t="inlineStr"/>
      <c r="B36" s="4" t="inlineStr">
        <is>
          <t>Team 신규</t>
        </is>
      </c>
      <c r="C36" s="5" t="n">
        <v>10850000</v>
      </c>
      <c r="D36" s="5" t="n">
        <v>3710000</v>
      </c>
      <c r="E36" s="5" t="n">
        <v>1210000</v>
      </c>
      <c r="F36" s="5" t="n">
        <v>15770000</v>
      </c>
      <c r="G36" s="6" t="inlineStr"/>
      <c r="H36" s="5" t="n">
        <v>18100000</v>
      </c>
      <c r="I36" s="6" t="n">
        <v>87.09999999999999</v>
      </c>
      <c r="J36" s="3" t="inlineStr"/>
    </row>
    <row r="37">
      <c r="A37" s="3" t="inlineStr"/>
      <c r="B37" s="4" t="inlineStr">
        <is>
          <t>Enterprise 계약</t>
        </is>
      </c>
      <c r="C37" s="5" t="n">
        <v>27990000</v>
      </c>
      <c r="D37" s="5" t="n">
        <v>6510000</v>
      </c>
      <c r="E37" s="5" t="n">
        <v>1840000</v>
      </c>
      <c r="F37" s="5" t="n">
        <v>36340000</v>
      </c>
      <c r="G37" s="6" t="inlineStr"/>
      <c r="H37" s="5" t="n">
        <v>31940000</v>
      </c>
      <c r="I37" s="6" t="n">
        <v>113.8</v>
      </c>
      <c r="J37" s="3" t="inlineStr">
        <is>
          <t>초과달성🎉</t>
        </is>
      </c>
    </row>
    <row r="39">
      <c r="A39" s="7" t="inlineStr">
        <is>
          <t>8월</t>
        </is>
      </c>
      <c r="B39" s="8" t="inlineStr">
        <is>
          <t>Free→Pro 전환</t>
        </is>
      </c>
      <c r="C39" s="9" t="n">
        <v>22540000</v>
      </c>
      <c r="D39" s="9" t="n">
        <v>6970000</v>
      </c>
      <c r="E39" s="9" t="n">
        <v>2540000</v>
      </c>
      <c r="F39" s="9" t="n">
        <v>32050000</v>
      </c>
      <c r="G39" s="10" t="n">
        <v>42.1</v>
      </c>
      <c r="H39" s="9" t="n">
        <v>22820000</v>
      </c>
      <c r="I39" s="10" t="n">
        <v>140.4</v>
      </c>
      <c r="J39" s="7" t="inlineStr">
        <is>
          <t>초과달성🎉</t>
        </is>
      </c>
    </row>
    <row r="40">
      <c r="A40" s="7" t="inlineStr"/>
      <c r="B40" s="8" t="inlineStr">
        <is>
          <t>Pro+ 업그레이드</t>
        </is>
      </c>
      <c r="C40" s="9" t="n">
        <v>13980000</v>
      </c>
      <c r="D40" s="9" t="n">
        <v>2410000</v>
      </c>
      <c r="E40" s="9" t="n">
        <v>3100000</v>
      </c>
      <c r="F40" s="9" t="n">
        <v>19490000</v>
      </c>
      <c r="G40" s="10" t="inlineStr"/>
      <c r="H40" s="9" t="n">
        <v>28210000</v>
      </c>
      <c r="I40" s="10" t="n">
        <v>69.09999999999999</v>
      </c>
      <c r="J40" s="7" t="inlineStr"/>
    </row>
    <row r="41">
      <c r="A41" s="7" t="inlineStr"/>
      <c r="B41" s="8" t="inlineStr">
        <is>
          <t>Team 신규</t>
        </is>
      </c>
      <c r="C41" s="9" t="n">
        <v>8720000</v>
      </c>
      <c r="D41" s="9" t="n">
        <v>1480000</v>
      </c>
      <c r="E41" s="9" t="n">
        <v>1060000</v>
      </c>
      <c r="F41" s="9" t="n">
        <v>11260000</v>
      </c>
      <c r="G41" s="10" t="inlineStr"/>
      <c r="H41" s="9" t="n">
        <v>14260000</v>
      </c>
      <c r="I41" s="10" t="n">
        <v>79</v>
      </c>
      <c r="J41" s="7" t="inlineStr"/>
    </row>
    <row r="42">
      <c r="A42" s="7" t="inlineStr"/>
      <c r="B42" s="8" t="inlineStr">
        <is>
          <t>Enterprise 계약</t>
        </is>
      </c>
      <c r="C42" s="9" t="n">
        <v>11550000</v>
      </c>
      <c r="D42" s="9" t="n">
        <v>7960000</v>
      </c>
      <c r="E42" s="9" t="n">
        <v>2660000</v>
      </c>
      <c r="F42" s="9" t="n">
        <v>22170000</v>
      </c>
      <c r="G42" s="10" t="inlineStr"/>
      <c r="H42" s="9" t="n">
        <v>32420000</v>
      </c>
      <c r="I42" s="10" t="n">
        <v>68.40000000000001</v>
      </c>
      <c r="J42" s="7" t="inlineStr"/>
    </row>
    <row r="44">
      <c r="A44" s="3" t="inlineStr">
        <is>
          <t>9월</t>
        </is>
      </c>
      <c r="B44" s="4" t="inlineStr">
        <is>
          <t>Free→Pro 전환</t>
        </is>
      </c>
      <c r="C44" s="5" t="n">
        <v>7600000</v>
      </c>
      <c r="D44" s="5" t="n">
        <v>4940000</v>
      </c>
      <c r="E44" s="5" t="n">
        <v>2450000</v>
      </c>
      <c r="F44" s="5" t="n">
        <v>14990000</v>
      </c>
      <c r="G44" s="6" t="n">
        <v>-53.2</v>
      </c>
      <c r="H44" s="5" t="n">
        <v>32400000</v>
      </c>
      <c r="I44" s="6" t="n">
        <v>46.3</v>
      </c>
      <c r="J44" s="3" t="inlineStr"/>
    </row>
    <row r="45">
      <c r="A45" s="3" t="inlineStr"/>
      <c r="B45" s="4" t="inlineStr">
        <is>
          <t>Pro+ 업그레이드</t>
        </is>
      </c>
      <c r="C45" s="5" t="n">
        <v>24170000</v>
      </c>
      <c r="D45" s="5" t="n">
        <v>6410000</v>
      </c>
      <c r="E45" s="5" t="n">
        <v>1780000</v>
      </c>
      <c r="F45" s="5" t="n">
        <v>32360000</v>
      </c>
      <c r="G45" s="6" t="inlineStr"/>
      <c r="H45" s="5" t="n">
        <v>30660000</v>
      </c>
      <c r="I45" s="6" t="n">
        <v>105.5</v>
      </c>
      <c r="J45" s="3" t="inlineStr">
        <is>
          <t>초과달성🎉</t>
        </is>
      </c>
    </row>
    <row r="46">
      <c r="A46" s="3" t="inlineStr"/>
      <c r="B46" s="4" t="inlineStr">
        <is>
          <t>Team 신규</t>
        </is>
      </c>
      <c r="C46" s="5" t="n">
        <v>5470000</v>
      </c>
      <c r="D46" s="5" t="n">
        <v>7960000</v>
      </c>
      <c r="E46" s="5" t="n">
        <v>1080000</v>
      </c>
      <c r="F46" s="5" t="n">
        <v>14510000</v>
      </c>
      <c r="G46" s="6" t="inlineStr"/>
      <c r="H46" s="5" t="n">
        <v>29990000</v>
      </c>
      <c r="I46" s="6" t="n">
        <v>48.4</v>
      </c>
      <c r="J46" s="3" t="inlineStr"/>
    </row>
    <row r="47">
      <c r="A47" s="3" t="inlineStr"/>
      <c r="B47" s="4" t="inlineStr">
        <is>
          <t>Enterprise 계약</t>
        </is>
      </c>
      <c r="C47" s="5" t="n">
        <v>15920000</v>
      </c>
      <c r="D47" s="5" t="n">
        <v>7560000</v>
      </c>
      <c r="E47" s="5" t="n">
        <v>2240000</v>
      </c>
      <c r="F47" s="5" t="n">
        <v>25720000</v>
      </c>
      <c r="G47" s="6" t="inlineStr"/>
      <c r="H47" s="5" t="n">
        <v>12560000</v>
      </c>
      <c r="I47" s="6" t="n">
        <v>204.8</v>
      </c>
      <c r="J47" s="3" t="inlineStr">
        <is>
          <t>초과달성🎉</t>
        </is>
      </c>
    </row>
    <row r="49">
      <c r="A49" s="7" t="inlineStr">
        <is>
          <t>10월</t>
        </is>
      </c>
      <c r="B49" s="8" t="inlineStr">
        <is>
          <t>Free→Pro 전환</t>
        </is>
      </c>
      <c r="C49" s="9" t="n">
        <v>17020000</v>
      </c>
      <c r="D49" s="9" t="n">
        <v>5450000</v>
      </c>
      <c r="E49" s="9" t="n">
        <v>1300000</v>
      </c>
      <c r="F49" s="9" t="n">
        <v>23770000</v>
      </c>
      <c r="G49" s="10" t="n">
        <v>58.6</v>
      </c>
      <c r="H49" s="9" t="n">
        <v>26580000</v>
      </c>
      <c r="I49" s="10" t="n">
        <v>89.40000000000001</v>
      </c>
      <c r="J49" s="7" t="inlineStr"/>
    </row>
    <row r="50">
      <c r="A50" s="7" t="inlineStr"/>
      <c r="B50" s="8" t="inlineStr">
        <is>
          <t>Pro+ 업그레이드</t>
        </is>
      </c>
      <c r="C50" s="9" t="n">
        <v>5130000</v>
      </c>
      <c r="D50" s="9" t="n">
        <v>3690000</v>
      </c>
      <c r="E50" s="9" t="n">
        <v>3060000</v>
      </c>
      <c r="F50" s="9" t="n">
        <v>11880000</v>
      </c>
      <c r="G50" s="10" t="inlineStr"/>
      <c r="H50" s="9" t="n">
        <v>15310000</v>
      </c>
      <c r="I50" s="10" t="n">
        <v>77.59999999999999</v>
      </c>
      <c r="J50" s="7" t="inlineStr"/>
    </row>
    <row r="51">
      <c r="A51" s="7" t="inlineStr"/>
      <c r="B51" s="8" t="inlineStr">
        <is>
          <t>Team 신규</t>
        </is>
      </c>
      <c r="C51" s="9" t="n">
        <v>25790000</v>
      </c>
      <c r="D51" s="9" t="n">
        <v>2080000</v>
      </c>
      <c r="E51" s="9" t="n">
        <v>3700000</v>
      </c>
      <c r="F51" s="9" t="n">
        <v>31570000</v>
      </c>
      <c r="G51" s="10" t="inlineStr"/>
      <c r="H51" s="9" t="n">
        <v>20220000</v>
      </c>
      <c r="I51" s="10" t="n">
        <v>156.1</v>
      </c>
      <c r="J51" s="7" t="inlineStr">
        <is>
          <t>초과달성🎉</t>
        </is>
      </c>
    </row>
    <row r="52">
      <c r="A52" s="7" t="inlineStr"/>
      <c r="B52" s="8" t="inlineStr">
        <is>
          <t>Enterprise 계약</t>
        </is>
      </c>
      <c r="C52" s="9" t="n">
        <v>25790000</v>
      </c>
      <c r="D52" s="9" t="n">
        <v>7230000</v>
      </c>
      <c r="E52" s="9" t="n">
        <v>1510000</v>
      </c>
      <c r="F52" s="9" t="n">
        <v>34530000</v>
      </c>
      <c r="G52" s="10" t="inlineStr"/>
      <c r="H52" s="9" t="n">
        <v>14260000</v>
      </c>
      <c r="I52" s="10" t="n">
        <v>242.1</v>
      </c>
      <c r="J52" s="7" t="inlineStr">
        <is>
          <t>초과달성🎉</t>
        </is>
      </c>
    </row>
    <row r="54">
      <c r="A54" s="3" t="inlineStr">
        <is>
          <t>11월</t>
        </is>
      </c>
      <c r="B54" s="4" t="inlineStr">
        <is>
          <t>Free→Pro 전환</t>
        </is>
      </c>
      <c r="C54" s="5" t="n">
        <v>20310000</v>
      </c>
      <c r="D54" s="5" t="n">
        <v>2650000</v>
      </c>
      <c r="E54" s="5" t="n">
        <v>3260000</v>
      </c>
      <c r="F54" s="5" t="n">
        <v>26220000</v>
      </c>
      <c r="G54" s="6" t="n">
        <v>10.3</v>
      </c>
      <c r="H54" s="5" t="n">
        <v>29720000</v>
      </c>
      <c r="I54" s="6" t="n">
        <v>88.2</v>
      </c>
      <c r="J54" s="3" t="inlineStr"/>
    </row>
    <row r="55">
      <c r="A55" s="3" t="inlineStr"/>
      <c r="B55" s="4" t="inlineStr">
        <is>
          <t>Pro+ 업그레이드</t>
        </is>
      </c>
      <c r="C55" s="5" t="n">
        <v>5020000</v>
      </c>
      <c r="D55" s="5" t="n">
        <v>7130000</v>
      </c>
      <c r="E55" s="5" t="n">
        <v>2150000</v>
      </c>
      <c r="F55" s="5" t="n">
        <v>14300000</v>
      </c>
      <c r="G55" s="6" t="inlineStr"/>
      <c r="H55" s="5" t="n">
        <v>28010000</v>
      </c>
      <c r="I55" s="6" t="n">
        <v>51.1</v>
      </c>
      <c r="J55" s="3" t="inlineStr"/>
    </row>
    <row r="56">
      <c r="A56" s="3" t="inlineStr"/>
      <c r="B56" s="4" t="inlineStr">
        <is>
          <t>Team 신규</t>
        </is>
      </c>
      <c r="C56" s="5" t="n">
        <v>5790000</v>
      </c>
      <c r="D56" s="5" t="n">
        <v>2140000</v>
      </c>
      <c r="E56" s="5" t="n">
        <v>2350000</v>
      </c>
      <c r="F56" s="5" t="n">
        <v>10280000</v>
      </c>
      <c r="G56" s="6" t="inlineStr"/>
      <c r="H56" s="5" t="n">
        <v>20590000</v>
      </c>
      <c r="I56" s="6" t="n">
        <v>49.9</v>
      </c>
      <c r="J56" s="3" t="inlineStr"/>
    </row>
    <row r="57">
      <c r="A57" s="3" t="inlineStr"/>
      <c r="B57" s="4" t="inlineStr">
        <is>
          <t>Enterprise 계약</t>
        </is>
      </c>
      <c r="C57" s="5" t="n">
        <v>14800000</v>
      </c>
      <c r="D57" s="5" t="n">
        <v>1590000</v>
      </c>
      <c r="E57" s="5" t="n">
        <v>1730000</v>
      </c>
      <c r="F57" s="5" t="n">
        <v>18120000</v>
      </c>
      <c r="G57" s="6" t="inlineStr"/>
      <c r="H57" s="5" t="n">
        <v>31230000</v>
      </c>
      <c r="I57" s="6" t="n">
        <v>58</v>
      </c>
      <c r="J57" s="3" t="inlineStr"/>
    </row>
    <row r="59">
      <c r="A59" s="7" t="inlineStr">
        <is>
          <t>12월</t>
        </is>
      </c>
      <c r="B59" s="8" t="inlineStr">
        <is>
          <t>Free→Pro 전환</t>
        </is>
      </c>
      <c r="C59" s="9" t="n">
        <v>8220000</v>
      </c>
      <c r="D59" s="9" t="n">
        <v>1870000</v>
      </c>
      <c r="E59" s="9" t="n">
        <v>2980000</v>
      </c>
      <c r="F59" s="9" t="n">
        <v>13070000</v>
      </c>
      <c r="G59" s="10" t="n">
        <v>-50.2</v>
      </c>
      <c r="H59" s="9" t="n">
        <v>10830000</v>
      </c>
      <c r="I59" s="10" t="n">
        <v>120.7</v>
      </c>
      <c r="J59" s="7" t="inlineStr">
        <is>
          <t>초과달성🎉</t>
        </is>
      </c>
    </row>
    <row r="60">
      <c r="A60" s="7" t="inlineStr"/>
      <c r="B60" s="8" t="inlineStr">
        <is>
          <t>Pro+ 업그레이드</t>
        </is>
      </c>
      <c r="C60" s="9" t="n">
        <v>26810000</v>
      </c>
      <c r="D60" s="9" t="n">
        <v>2280000</v>
      </c>
      <c r="E60" s="9" t="n">
        <v>1150000</v>
      </c>
      <c r="F60" s="9" t="n">
        <v>30240000</v>
      </c>
      <c r="G60" s="10" t="inlineStr"/>
      <c r="H60" s="9" t="n">
        <v>27460000</v>
      </c>
      <c r="I60" s="10" t="n">
        <v>110.1</v>
      </c>
      <c r="J60" s="7" t="inlineStr">
        <is>
          <t>초과달성🎉</t>
        </is>
      </c>
    </row>
    <row r="61">
      <c r="A61" s="7" t="inlineStr"/>
      <c r="B61" s="8" t="inlineStr">
        <is>
          <t>Team 신규</t>
        </is>
      </c>
      <c r="C61" s="9" t="n">
        <v>27510000</v>
      </c>
      <c r="D61" s="9" t="n">
        <v>2690000</v>
      </c>
      <c r="E61" s="9" t="n">
        <v>1850000</v>
      </c>
      <c r="F61" s="9" t="n">
        <v>32050000</v>
      </c>
      <c r="G61" s="10" t="inlineStr"/>
      <c r="H61" s="9" t="n">
        <v>29610000</v>
      </c>
      <c r="I61" s="10" t="n">
        <v>108.2</v>
      </c>
      <c r="J61" s="7" t="inlineStr">
        <is>
          <t>초과달성🎉</t>
        </is>
      </c>
    </row>
    <row r="62">
      <c r="A62" s="7" t="inlineStr"/>
      <c r="B62" s="8" t="inlineStr">
        <is>
          <t>Enterprise 계약</t>
        </is>
      </c>
      <c r="C62" s="9" t="n">
        <v>29840000</v>
      </c>
      <c r="D62" s="9" t="n">
        <v>5330000</v>
      </c>
      <c r="E62" s="9" t="n">
        <v>1580000</v>
      </c>
      <c r="F62" s="9" t="n">
        <v>36750000</v>
      </c>
      <c r="G62" s="10" t="inlineStr"/>
      <c r="H62" s="9" t="n">
        <v>30080000</v>
      </c>
      <c r="I62" s="10" t="n">
        <v>122.2</v>
      </c>
      <c r="J62" s="7" t="inlineStr">
        <is>
          <t>초과달성🎉</t>
        </is>
      </c>
    </row>
    <row r="64">
      <c r="A64" s="11" t="inlineStr">
        <is>
          <t>연간합계</t>
        </is>
      </c>
      <c r="F64" s="12">
        <f>SUMIF(F4:F63,"&gt;0")</f>
        <v/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13" customWidth="1" min="5" max="5"/>
  </cols>
  <sheetData>
    <row r="1">
      <c r="A1" s="13" t="inlineStr">
        <is>
          <t>2026년 직원 인사 및 급여 현황</t>
        </is>
      </c>
    </row>
    <row r="3">
      <c r="A3" s="14" t="inlineStr">
        <is>
          <t>사번</t>
        </is>
      </c>
      <c r="B3" s="14" t="inlineStr">
        <is>
          <t>성명</t>
        </is>
      </c>
      <c r="C3" s="14" t="inlineStr">
        <is>
          <t>부서</t>
        </is>
      </c>
      <c r="D3" s="14" t="inlineStr">
        <is>
          <t>직급</t>
        </is>
      </c>
      <c r="E3" s="14" t="inlineStr">
        <is>
          <t>입사일</t>
        </is>
      </c>
      <c r="F3" s="14" t="inlineStr">
        <is>
          <t>기본급</t>
        </is>
      </c>
      <c r="G3" s="14" t="inlineStr">
        <is>
          <t>성과급</t>
        </is>
      </c>
      <c r="H3" s="14" t="inlineStr">
        <is>
          <t>세금(3.3%)</t>
        </is>
      </c>
      <c r="I3" s="14" t="inlineStr">
        <is>
          <t>공제합계</t>
        </is>
      </c>
      <c r="J3" s="14" t="inlineStr">
        <is>
          <t>실수령액</t>
        </is>
      </c>
    </row>
    <row r="4">
      <c r="A4" s="15" t="inlineStr">
        <is>
          <t>N001</t>
        </is>
      </c>
      <c r="B4" s="16" t="inlineStr">
        <is>
          <t>김민준</t>
        </is>
      </c>
      <c r="C4" s="15" t="inlineStr">
        <is>
          <t>개발팀</t>
        </is>
      </c>
      <c r="D4" s="15" t="inlineStr">
        <is>
          <t>팀장</t>
        </is>
      </c>
      <c r="E4" s="15" t="inlineStr">
        <is>
          <t>2022-03-15</t>
        </is>
      </c>
      <c r="F4" s="17" t="n">
        <v>6500000</v>
      </c>
      <c r="G4" s="17" t="n">
        <v>1800000</v>
      </c>
      <c r="H4" s="17" t="n">
        <v>273900</v>
      </c>
      <c r="I4" s="17" t="n">
        <v>566400</v>
      </c>
      <c r="J4" s="17" t="n">
        <v>7733600</v>
      </c>
    </row>
    <row r="5">
      <c r="A5" s="7" t="inlineStr">
        <is>
          <t>N002</t>
        </is>
      </c>
      <c r="B5" s="8" t="inlineStr">
        <is>
          <t>이서연</t>
        </is>
      </c>
      <c r="C5" s="7" t="inlineStr">
        <is>
          <t>마케팅</t>
        </is>
      </c>
      <c r="D5" s="7" t="inlineStr">
        <is>
          <t>과장</t>
        </is>
      </c>
      <c r="E5" s="7" t="inlineStr">
        <is>
          <t>2023-06-01</t>
        </is>
      </c>
      <c r="F5" s="9" t="n">
        <v>4800000</v>
      </c>
      <c r="G5" s="9" t="n">
        <v>900000</v>
      </c>
      <c r="H5" s="9" t="n">
        <v>188100</v>
      </c>
      <c r="I5" s="9" t="n">
        <v>404100</v>
      </c>
      <c r="J5" s="9" t="n">
        <v>5295900</v>
      </c>
    </row>
    <row r="6">
      <c r="A6" s="15" t="inlineStr">
        <is>
          <t>N003</t>
        </is>
      </c>
      <c r="B6" s="16" t="inlineStr">
        <is>
          <t>박지호</t>
        </is>
      </c>
      <c r="C6" s="15" t="inlineStr">
        <is>
          <t>영업팀</t>
        </is>
      </c>
      <c r="D6" s="15" t="inlineStr">
        <is>
          <t>대리</t>
        </is>
      </c>
      <c r="E6" s="15" t="inlineStr">
        <is>
          <t>2024-01-10</t>
        </is>
      </c>
      <c r="F6" s="17" t="n">
        <v>4200000</v>
      </c>
      <c r="G6" s="17" t="n">
        <v>1200000</v>
      </c>
      <c r="H6" s="17" t="n">
        <v>178200</v>
      </c>
      <c r="I6" s="17" t="n">
        <v>367200</v>
      </c>
      <c r="J6" s="17" t="n">
        <v>5032800</v>
      </c>
    </row>
    <row r="7">
      <c r="A7" s="7" t="inlineStr">
        <is>
          <t>N004</t>
        </is>
      </c>
      <c r="B7" s="8" t="inlineStr">
        <is>
          <t>최유진</t>
        </is>
      </c>
      <c r="C7" s="7" t="inlineStr">
        <is>
          <t>인사팀</t>
        </is>
      </c>
      <c r="D7" s="7" t="inlineStr">
        <is>
          <t>주임</t>
        </is>
      </c>
      <c r="E7" s="7" t="inlineStr">
        <is>
          <t>2023-09-20</t>
        </is>
      </c>
      <c r="F7" s="9" t="n">
        <v>3900000</v>
      </c>
      <c r="G7" s="9" t="n">
        <v>500000</v>
      </c>
      <c r="H7" s="9" t="n">
        <v>145200</v>
      </c>
      <c r="I7" s="9" t="n">
        <v>320700</v>
      </c>
      <c r="J7" s="9" t="n">
        <v>4079300</v>
      </c>
    </row>
    <row r="8">
      <c r="A8" s="15" t="inlineStr">
        <is>
          <t>N005</t>
        </is>
      </c>
      <c r="B8" s="16" t="inlineStr">
        <is>
          <t>정다은</t>
        </is>
      </c>
      <c r="C8" s="15" t="inlineStr">
        <is>
          <t>재무팀</t>
        </is>
      </c>
      <c r="D8" s="15" t="inlineStr">
        <is>
          <t>팀장</t>
        </is>
      </c>
      <c r="E8" s="15" t="inlineStr">
        <is>
          <t>2021-11-05</t>
        </is>
      </c>
      <c r="F8" s="17" t="n">
        <v>7200000</v>
      </c>
      <c r="G8" s="17" t="n">
        <v>2000000</v>
      </c>
      <c r="H8" s="17" t="n">
        <v>303600</v>
      </c>
      <c r="I8" s="17" t="n">
        <v>627600</v>
      </c>
      <c r="J8" s="17" t="n">
        <v>8572400</v>
      </c>
    </row>
    <row r="9">
      <c r="A9" s="7" t="inlineStr">
        <is>
          <t>N006</t>
        </is>
      </c>
      <c r="B9" s="8" t="inlineStr">
        <is>
          <t>강현우</t>
        </is>
      </c>
      <c r="C9" s="7" t="inlineStr">
        <is>
          <t>개발팀</t>
        </is>
      </c>
      <c r="D9" s="7" t="inlineStr">
        <is>
          <t>수석</t>
        </is>
      </c>
      <c r="E9" s="7" t="inlineStr">
        <is>
          <t>2020-07-22</t>
        </is>
      </c>
      <c r="F9" s="9" t="n">
        <v>8500000</v>
      </c>
      <c r="G9" s="9" t="n">
        <v>2500000</v>
      </c>
      <c r="H9" s="9" t="n">
        <v>363000</v>
      </c>
      <c r="I9" s="9" t="n">
        <v>745500</v>
      </c>
      <c r="J9" s="9" t="n">
        <v>10254500</v>
      </c>
    </row>
    <row r="10">
      <c r="A10" s="15" t="inlineStr">
        <is>
          <t>N007</t>
        </is>
      </c>
      <c r="B10" s="16" t="inlineStr">
        <is>
          <t>윤소희</t>
        </is>
      </c>
      <c r="C10" s="15" t="inlineStr">
        <is>
          <t>디자인</t>
        </is>
      </c>
      <c r="D10" s="15" t="inlineStr">
        <is>
          <t>대리</t>
        </is>
      </c>
      <c r="E10" s="15" t="inlineStr">
        <is>
          <t>2024-04-01</t>
        </is>
      </c>
      <c r="F10" s="17" t="n">
        <v>4500000</v>
      </c>
      <c r="G10" s="17" t="n">
        <v>700000</v>
      </c>
      <c r="H10" s="17" t="n">
        <v>171600</v>
      </c>
      <c r="I10" s="17" t="n">
        <v>374100</v>
      </c>
      <c r="J10" s="17" t="n">
        <v>4825900</v>
      </c>
    </row>
    <row r="11">
      <c r="A11" s="7" t="inlineStr">
        <is>
          <t>N008</t>
        </is>
      </c>
      <c r="B11" s="8" t="inlineStr">
        <is>
          <t>임도현</t>
        </is>
      </c>
      <c r="C11" s="7" t="inlineStr">
        <is>
          <t>법무팀</t>
        </is>
      </c>
      <c r="D11" s="7" t="inlineStr">
        <is>
          <t>과장</t>
        </is>
      </c>
      <c r="E11" s="7" t="inlineStr">
        <is>
          <t>2022-08-15</t>
        </is>
      </c>
      <c r="F11" s="9" t="n">
        <v>6800000</v>
      </c>
      <c r="G11" s="9" t="n">
        <v>1100000</v>
      </c>
      <c r="H11" s="9" t="n">
        <v>260700</v>
      </c>
      <c r="I11" s="9" t="n">
        <v>566700</v>
      </c>
      <c r="J11" s="9" t="n">
        <v>7333300</v>
      </c>
    </row>
    <row r="12">
      <c r="A12" s="15" t="inlineStr">
        <is>
          <t>N009</t>
        </is>
      </c>
      <c r="B12" s="16" t="inlineStr">
        <is>
          <t>한지민</t>
        </is>
      </c>
      <c r="C12" s="15" t="inlineStr">
        <is>
          <t>CS팀</t>
        </is>
      </c>
      <c r="D12" s="15" t="inlineStr">
        <is>
          <t>주임</t>
        </is>
      </c>
      <c r="E12" s="15" t="inlineStr">
        <is>
          <t>2025-01-03</t>
        </is>
      </c>
      <c r="F12" s="17" t="n">
        <v>3600000</v>
      </c>
      <c r="G12" s="17" t="n">
        <v>400000</v>
      </c>
      <c r="H12" s="17" t="n">
        <v>132000</v>
      </c>
      <c r="I12" s="17" t="n">
        <v>294000</v>
      </c>
      <c r="J12" s="17" t="n">
        <v>3706000</v>
      </c>
    </row>
    <row r="13">
      <c r="A13" s="7" t="inlineStr">
        <is>
          <t>N010</t>
        </is>
      </c>
      <c r="B13" s="8" t="inlineStr">
        <is>
          <t>오준혁</t>
        </is>
      </c>
      <c r="C13" s="7" t="inlineStr">
        <is>
          <t>개발팀</t>
        </is>
      </c>
      <c r="D13" s="7" t="inlineStr">
        <is>
          <t>사원</t>
        </is>
      </c>
      <c r="E13" s="7" t="inlineStr">
        <is>
          <t>2025-06-01</t>
        </is>
      </c>
      <c r="F13" s="9" t="n">
        <v>3800000</v>
      </c>
      <c r="G13" s="9" t="n">
        <v>300000</v>
      </c>
      <c r="H13" s="9" t="n">
        <v>135300</v>
      </c>
      <c r="I13" s="9" t="n">
        <v>306300</v>
      </c>
      <c r="J13" s="9" t="n">
        <v>3793700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제품 재고 &amp; 발주 관리 현황</t>
        </is>
      </c>
    </row>
    <row r="3">
      <c r="A3" s="19" t="inlineStr">
        <is>
          <t>제품코드</t>
        </is>
      </c>
      <c r="B3" s="19" t="inlineStr">
        <is>
          <t>제품명</t>
        </is>
      </c>
      <c r="C3" s="19" t="inlineStr">
        <is>
          <t>카테고리</t>
        </is>
      </c>
      <c r="D3" s="19" t="inlineStr">
        <is>
          <t>현재고</t>
        </is>
      </c>
      <c r="E3" s="19" t="inlineStr">
        <is>
          <t>최소재고</t>
        </is>
      </c>
      <c r="F3" s="19" t="inlineStr">
        <is>
          <t>최대재고</t>
        </is>
      </c>
      <c r="G3" s="19" t="inlineStr">
        <is>
          <t>단가</t>
        </is>
      </c>
      <c r="H3" s="19" t="inlineStr">
        <is>
          <t>재고금액</t>
        </is>
      </c>
      <c r="I3" s="19" t="inlineStr">
        <is>
          <t>상태</t>
        </is>
      </c>
    </row>
    <row r="4">
      <c r="A4" s="20" t="inlineStr">
        <is>
          <t>PRD-001</t>
        </is>
      </c>
      <c r="B4" s="21" t="inlineStr">
        <is>
          <t>NEXUS Pro 라이선스</t>
        </is>
      </c>
      <c r="C4" s="20" t="inlineStr">
        <is>
          <t>소프트웨어</t>
        </is>
      </c>
      <c r="D4" s="22" t="n">
        <v>142</v>
      </c>
      <c r="E4" s="22" t="n">
        <v>50</v>
      </c>
      <c r="F4" s="22" t="n">
        <v>500</v>
      </c>
      <c r="G4" s="22" t="n">
        <v>14900</v>
      </c>
      <c r="H4" s="22" t="n">
        <v>2115800</v>
      </c>
      <c r="I4" s="20" t="inlineStr">
        <is>
          <t>정상</t>
        </is>
      </c>
    </row>
    <row r="5">
      <c r="A5" s="23" t="inlineStr">
        <is>
          <t>PRD-002</t>
        </is>
      </c>
      <c r="B5" s="24" t="inlineStr">
        <is>
          <t>NEXUS Pro+ 라이선스</t>
        </is>
      </c>
      <c r="C5" s="23" t="inlineStr">
        <is>
          <t>소프트웨어</t>
        </is>
      </c>
      <c r="D5" s="25" t="n">
        <v>28</v>
      </c>
      <c r="E5" s="25" t="n">
        <v>30</v>
      </c>
      <c r="F5" s="25" t="n">
        <v>200</v>
      </c>
      <c r="G5" s="25" t="n">
        <v>39000</v>
      </c>
      <c r="H5" s="25" t="n">
        <v>1092000</v>
      </c>
      <c r="I5" s="23" t="inlineStr">
        <is>
          <t>⚠️ 부족</t>
        </is>
      </c>
    </row>
    <row r="6">
      <c r="A6" s="26" t="inlineStr">
        <is>
          <t>PRD-003</t>
        </is>
      </c>
      <c r="B6" s="27" t="inlineStr">
        <is>
          <t>NEXUS Team 라이선스</t>
        </is>
      </c>
      <c r="C6" s="26" t="inlineStr">
        <is>
          <t>소프트웨어</t>
        </is>
      </c>
      <c r="D6" s="28" t="n">
        <v>0</v>
      </c>
      <c r="E6" s="28" t="n">
        <v>10</v>
      </c>
      <c r="F6" s="28" t="n">
        <v>100</v>
      </c>
      <c r="G6" s="28" t="n">
        <v>79000</v>
      </c>
      <c r="H6" s="28" t="n">
        <v>0</v>
      </c>
      <c r="I6" s="26" t="inlineStr">
        <is>
          <t>❌ 품절</t>
        </is>
      </c>
    </row>
    <row r="7">
      <c r="A7" s="20" t="inlineStr">
        <is>
          <t>PRD-004</t>
        </is>
      </c>
      <c r="B7" s="21" t="inlineStr">
        <is>
          <t>USB 보안키</t>
        </is>
      </c>
      <c r="C7" s="20" t="inlineStr">
        <is>
          <t>하드웨어</t>
        </is>
      </c>
      <c r="D7" s="22" t="n">
        <v>85</v>
      </c>
      <c r="E7" s="22" t="n">
        <v>20</v>
      </c>
      <c r="F7" s="22" t="n">
        <v>300</v>
      </c>
      <c r="G7" s="22" t="n">
        <v>35000</v>
      </c>
      <c r="H7" s="22" t="n">
        <v>2975000</v>
      </c>
      <c r="I7" s="20" t="inlineStr">
        <is>
          <t>정상</t>
        </is>
      </c>
    </row>
    <row r="8">
      <c r="A8" s="20" t="inlineStr">
        <is>
          <t>PRD-005</t>
        </is>
      </c>
      <c r="B8" s="21" t="inlineStr">
        <is>
          <t>기업 지원 패키지</t>
        </is>
      </c>
      <c r="C8" s="20" t="inlineStr">
        <is>
          <t>서비스</t>
        </is>
      </c>
      <c r="D8" s="22" t="n">
        <v>12</v>
      </c>
      <c r="E8" s="22" t="n">
        <v>5</v>
      </c>
      <c r="F8" s="22" t="n">
        <v>50</v>
      </c>
      <c r="G8" s="22" t="n">
        <v>299000</v>
      </c>
      <c r="H8" s="22" t="n">
        <v>3588000</v>
      </c>
      <c r="I8" s="20" t="inlineStr">
        <is>
          <t>정상</t>
        </is>
      </c>
    </row>
    <row r="9">
      <c r="A9" s="23" t="inlineStr">
        <is>
          <t>PRD-006</t>
        </is>
      </c>
      <c r="B9" s="24" t="inlineStr">
        <is>
          <t>맞춤형 온보딩</t>
        </is>
      </c>
      <c r="C9" s="23" t="inlineStr">
        <is>
          <t>서비스</t>
        </is>
      </c>
      <c r="D9" s="25" t="n">
        <v>3</v>
      </c>
      <c r="E9" s="25" t="n">
        <v>5</v>
      </c>
      <c r="F9" s="25" t="n">
        <v>30</v>
      </c>
      <c r="G9" s="25" t="n">
        <v>500000</v>
      </c>
      <c r="H9" s="25" t="n">
        <v>1500000</v>
      </c>
      <c r="I9" s="23" t="inlineStr">
        <is>
          <t>⚠️ 부족</t>
        </is>
      </c>
    </row>
    <row r="10">
      <c r="A10" s="26" t="inlineStr">
        <is>
          <t>PRD-007</t>
        </is>
      </c>
      <c r="B10" s="27" t="inlineStr">
        <is>
          <t>API 크레딧 1만건</t>
        </is>
      </c>
      <c r="C10" s="26" t="inlineStr">
        <is>
          <t>소프트웨어</t>
        </is>
      </c>
      <c r="D10" s="28" t="n">
        <v>0</v>
      </c>
      <c r="E10" s="28" t="n">
        <v>100</v>
      </c>
      <c r="F10" s="28" t="n">
        <v>10000</v>
      </c>
      <c r="G10" s="28" t="n">
        <v>9900</v>
      </c>
      <c r="H10" s="28" t="n">
        <v>0</v>
      </c>
      <c r="I10" s="26" t="inlineStr">
        <is>
          <t>❌ 품절</t>
        </is>
      </c>
    </row>
    <row r="11">
      <c r="A11" s="20" t="inlineStr">
        <is>
          <t>PRD-008</t>
        </is>
      </c>
      <c r="B11" s="21" t="inlineStr">
        <is>
          <t>Vision 애드온</t>
        </is>
      </c>
      <c r="C11" s="20" t="inlineStr">
        <is>
          <t>소프트웨어</t>
        </is>
      </c>
      <c r="D11" s="22" t="n">
        <v>67</v>
      </c>
      <c r="E11" s="22" t="n">
        <v>20</v>
      </c>
      <c r="F11" s="22" t="n">
        <v>400</v>
      </c>
      <c r="G11" s="22" t="n">
        <v>9900</v>
      </c>
      <c r="H11" s="22" t="n">
        <v>663300</v>
      </c>
      <c r="I11" s="20" t="inlineStr">
        <is>
          <t>정상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고객 관리 현황 (CRM)</t>
        </is>
      </c>
    </row>
    <row r="3">
      <c r="A3" s="30" t="inlineStr">
        <is>
          <t>고객ID</t>
        </is>
      </c>
      <c r="B3" s="30" t="inlineStr">
        <is>
          <t>회사명</t>
        </is>
      </c>
      <c r="C3" s="30" t="inlineStr">
        <is>
          <t>담당자</t>
        </is>
      </c>
      <c r="D3" s="30" t="inlineStr">
        <is>
          <t>플랜</t>
        </is>
      </c>
      <c r="E3" s="30" t="inlineStr">
        <is>
          <t>월결제액</t>
        </is>
      </c>
      <c r="F3" s="30" t="inlineStr">
        <is>
          <t>가입일</t>
        </is>
      </c>
      <c r="G3" s="30" t="inlineStr">
        <is>
          <t>마지막로그인</t>
        </is>
      </c>
      <c r="H3" s="30" t="inlineStr">
        <is>
          <t>NPS점수</t>
        </is>
      </c>
      <c r="I3" s="30" t="inlineStr">
        <is>
          <t>상태</t>
        </is>
      </c>
      <c r="J3" s="30" t="inlineStr">
        <is>
          <t>메모</t>
        </is>
      </c>
    </row>
    <row r="4">
      <c r="A4" s="31" t="inlineStr">
        <is>
          <t>C001</t>
        </is>
      </c>
      <c r="B4" s="32" t="inlineStr">
        <is>
          <t>삼성SDS</t>
        </is>
      </c>
      <c r="C4" s="32" t="inlineStr">
        <is>
          <t>김철수</t>
        </is>
      </c>
      <c r="D4" s="31" t="inlineStr">
        <is>
          <t>Team</t>
        </is>
      </c>
      <c r="E4" s="33" t="n">
        <v>790000</v>
      </c>
      <c r="F4" s="31" t="inlineStr">
        <is>
          <t>2025-03-01</t>
        </is>
      </c>
      <c r="G4" s="31" t="inlineStr">
        <is>
          <t>2026-06-04</t>
        </is>
      </c>
      <c r="H4" s="31" t="n">
        <v>9</v>
      </c>
      <c r="I4" s="31" t="inlineStr">
        <is>
          <t>활성</t>
        </is>
      </c>
      <c r="J4" s="32" t="inlineStr">
        <is>
          <t>AI 문서 자동화 핵심 활용</t>
        </is>
      </c>
    </row>
    <row r="5">
      <c r="A5" s="7" t="inlineStr">
        <is>
          <t>C002</t>
        </is>
      </c>
      <c r="B5" s="8" t="inlineStr">
        <is>
          <t>LG CNS</t>
        </is>
      </c>
      <c r="C5" s="8" t="inlineStr">
        <is>
          <t>박영희</t>
        </is>
      </c>
      <c r="D5" s="7" t="inlineStr">
        <is>
          <t>Pro+</t>
        </is>
      </c>
      <c r="E5" s="9" t="n">
        <v>390000</v>
      </c>
      <c r="F5" s="7" t="inlineStr">
        <is>
          <t>2025-07-15</t>
        </is>
      </c>
      <c r="G5" s="7" t="inlineStr">
        <is>
          <t>2026-06-03</t>
        </is>
      </c>
      <c r="H5" s="7" t="n">
        <v>8</v>
      </c>
      <c r="I5" s="7" t="inlineStr">
        <is>
          <t>활성</t>
        </is>
      </c>
      <c r="J5" s="8" t="inlineStr">
        <is>
          <t>개발팀 20인 사용</t>
        </is>
      </c>
    </row>
    <row r="6">
      <c r="A6" s="31" t="inlineStr">
        <is>
          <t>C003</t>
        </is>
      </c>
      <c r="B6" s="32" t="inlineStr">
        <is>
          <t>현대모비스</t>
        </is>
      </c>
      <c r="C6" s="32" t="inlineStr">
        <is>
          <t>이지훈</t>
        </is>
      </c>
      <c r="D6" s="31" t="inlineStr">
        <is>
          <t>Enterprise</t>
        </is>
      </c>
      <c r="E6" s="33" t="n">
        <v>2900000</v>
      </c>
      <c r="F6" s="31" t="inlineStr">
        <is>
          <t>2024-11-01</t>
        </is>
      </c>
      <c r="G6" s="31" t="inlineStr">
        <is>
          <t>2026-05-28</t>
        </is>
      </c>
      <c r="H6" s="31" t="n">
        <v>7</v>
      </c>
      <c r="I6" s="31" t="inlineStr">
        <is>
          <t>활성</t>
        </is>
      </c>
      <c r="J6" s="32" t="inlineStr">
        <is>
          <t>커스텀 온보딩 완료</t>
        </is>
      </c>
    </row>
    <row r="7">
      <c r="A7" s="7" t="inlineStr">
        <is>
          <t>C004</t>
        </is>
      </c>
      <c r="B7" s="8" t="inlineStr">
        <is>
          <t>카카오</t>
        </is>
      </c>
      <c r="C7" s="8" t="inlineStr">
        <is>
          <t>최민서</t>
        </is>
      </c>
      <c r="D7" s="7" t="inlineStr">
        <is>
          <t>Pro</t>
        </is>
      </c>
      <c r="E7" s="9" t="n">
        <v>149000</v>
      </c>
      <c r="F7" s="7" t="inlineStr">
        <is>
          <t>2026-01-20</t>
        </is>
      </c>
      <c r="G7" s="7" t="inlineStr">
        <is>
          <t>2026-04-10</t>
        </is>
      </c>
      <c r="H7" s="7" t="n">
        <v>5</v>
      </c>
      <c r="I7" s="7" t="inlineStr">
        <is>
          <t>휴면</t>
        </is>
      </c>
      <c r="J7" s="8" t="inlineStr">
        <is>
          <t>3개월 미접속</t>
        </is>
      </c>
    </row>
    <row r="8">
      <c r="A8" s="31" t="inlineStr">
        <is>
          <t>C005</t>
        </is>
      </c>
      <c r="B8" s="32" t="inlineStr">
        <is>
          <t>네이버</t>
        </is>
      </c>
      <c r="C8" s="32" t="inlineStr">
        <is>
          <t>정수진</t>
        </is>
      </c>
      <c r="D8" s="31" t="inlineStr">
        <is>
          <t>Team</t>
        </is>
      </c>
      <c r="E8" s="33" t="n">
        <v>790000</v>
      </c>
      <c r="F8" s="31" t="inlineStr">
        <is>
          <t>2025-09-10</t>
        </is>
      </c>
      <c r="G8" s="31" t="inlineStr">
        <is>
          <t>2026-06-01</t>
        </is>
      </c>
      <c r="H8" s="31" t="n">
        <v>9</v>
      </c>
      <c r="I8" s="31" t="inlineStr">
        <is>
          <t>활성</t>
        </is>
      </c>
      <c r="J8" s="32" t="inlineStr">
        <is>
          <t>만족도 최상</t>
        </is>
      </c>
    </row>
    <row r="9">
      <c r="A9" s="7" t="inlineStr">
        <is>
          <t>C006</t>
        </is>
      </c>
      <c r="B9" s="8" t="inlineStr">
        <is>
          <t>SK텔레콤</t>
        </is>
      </c>
      <c r="C9" s="8" t="inlineStr">
        <is>
          <t>강동원</t>
        </is>
      </c>
      <c r="D9" s="7" t="inlineStr">
        <is>
          <t>Pro+</t>
        </is>
      </c>
      <c r="E9" s="9" t="n">
        <v>390000</v>
      </c>
      <c r="F9" s="7" t="inlineStr">
        <is>
          <t>2025-05-22</t>
        </is>
      </c>
      <c r="G9" s="7" t="inlineStr">
        <is>
          <t>2026-06-05</t>
        </is>
      </c>
      <c r="H9" s="7" t="n">
        <v>10</v>
      </c>
      <c r="I9" s="7" t="inlineStr">
        <is>
          <t>활성</t>
        </is>
      </c>
      <c r="J9" s="8" t="inlineStr">
        <is>
          <t>추가 시트 문의중</t>
        </is>
      </c>
    </row>
    <row r="10">
      <c r="A10" s="31" t="inlineStr">
        <is>
          <t>C007</t>
        </is>
      </c>
      <c r="B10" s="32" t="inlineStr">
        <is>
          <t>롯데쇼핑</t>
        </is>
      </c>
      <c r="C10" s="32" t="inlineStr">
        <is>
          <t>윤미래</t>
        </is>
      </c>
      <c r="D10" s="31" t="inlineStr">
        <is>
          <t>Free</t>
        </is>
      </c>
      <c r="E10" s="33" t="n">
        <v>0</v>
      </c>
      <c r="F10" s="31" t="inlineStr">
        <is>
          <t>2026-04-01</t>
        </is>
      </c>
      <c r="G10" s="31" t="inlineStr">
        <is>
          <t>2026-05-15</t>
        </is>
      </c>
      <c r="H10" s="31" t="n">
        <v>6</v>
      </c>
      <c r="I10" s="31" t="inlineStr">
        <is>
          <t>체험중</t>
        </is>
      </c>
      <c r="J10" s="32" t="inlineStr">
        <is>
          <t>Pro 전환 예정</t>
        </is>
      </c>
    </row>
    <row r="11">
      <c r="A11" s="7" t="inlineStr">
        <is>
          <t>C008</t>
        </is>
      </c>
      <c r="B11" s="8" t="inlineStr">
        <is>
          <t>포스코</t>
        </is>
      </c>
      <c r="C11" s="8" t="inlineStr">
        <is>
          <t>임현준</t>
        </is>
      </c>
      <c r="D11" s="7" t="inlineStr">
        <is>
          <t>Enterprise</t>
        </is>
      </c>
      <c r="E11" s="9" t="n">
        <v>5800000</v>
      </c>
      <c r="F11" s="7" t="inlineStr">
        <is>
          <t>2024-06-01</t>
        </is>
      </c>
      <c r="G11" s="7" t="inlineStr">
        <is>
          <t>2026-06-04</t>
        </is>
      </c>
      <c r="H11" s="7" t="n">
        <v>8</v>
      </c>
      <c r="I11" s="7" t="inlineStr">
        <is>
          <t>활성</t>
        </is>
      </c>
      <c r="J11" s="8" t="inlineStr">
        <is>
          <t>API 연동 진행중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10" max="10"/>
  </cols>
  <sheetData>
    <row r="1">
      <c r="A1" s="34" t="inlineStr">
        <is>
          <t>2026년 프로젝트 현황 &amp; 진행률</t>
        </is>
      </c>
    </row>
    <row r="3">
      <c r="A3" s="35" t="inlineStr">
        <is>
          <t>프로젝트명</t>
        </is>
      </c>
      <c r="B3" s="35" t="inlineStr">
        <is>
          <t>담당자</t>
        </is>
      </c>
      <c r="C3" s="35" t="inlineStr">
        <is>
          <t>우선순위</t>
        </is>
      </c>
      <c r="D3" s="35" t="inlineStr">
        <is>
          <t>시작일</t>
        </is>
      </c>
      <c r="E3" s="35" t="inlineStr">
        <is>
          <t>마감일</t>
        </is>
      </c>
      <c r="F3" s="35" t="inlineStr">
        <is>
          <t>진행률(%)</t>
        </is>
      </c>
      <c r="G3" s="35" t="inlineStr">
        <is>
          <t>상태</t>
        </is>
      </c>
      <c r="H3" s="35" t="inlineStr">
        <is>
          <t>예산(만원)</t>
        </is>
      </c>
      <c r="I3" s="35" t="inlineStr">
        <is>
          <t>사용(만원)</t>
        </is>
      </c>
      <c r="J3" s="35" t="inlineStr">
        <is>
          <t>이슈</t>
        </is>
      </c>
    </row>
    <row r="4">
      <c r="A4" s="36" t="inlineStr">
        <is>
          <t>v2.9 자가치유 고도화</t>
        </is>
      </c>
      <c r="B4" s="7" t="inlineStr">
        <is>
          <t>강현우</t>
        </is>
      </c>
      <c r="C4" s="7" t="inlineStr">
        <is>
          <t>🔴 긴급</t>
        </is>
      </c>
      <c r="D4" s="7" t="inlineStr">
        <is>
          <t>2026-05-01</t>
        </is>
      </c>
      <c r="E4" s="7" t="inlineStr">
        <is>
          <t>2026-06-30</t>
        </is>
      </c>
      <c r="F4" s="37" t="n">
        <v>75</v>
      </c>
      <c r="G4" s="7" t="inlineStr">
        <is>
          <t>진행중</t>
        </is>
      </c>
      <c r="H4" s="9" t="n">
        <v>3000</v>
      </c>
      <c r="I4" s="9" t="n">
        <v>2100</v>
      </c>
      <c r="J4" s="8" t="inlineStr">
        <is>
          <t>LLM 응답 지연</t>
        </is>
      </c>
    </row>
    <row r="5">
      <c r="A5" s="8" t="inlineStr">
        <is>
          <t>엔터프라이즈 API v2</t>
        </is>
      </c>
      <c r="B5" s="7" t="inlineStr">
        <is>
          <t>이서연</t>
        </is>
      </c>
      <c r="C5" s="7" t="inlineStr">
        <is>
          <t>🟡 높음</t>
        </is>
      </c>
      <c r="D5" s="7" t="inlineStr">
        <is>
          <t>2026-04-15</t>
        </is>
      </c>
      <c r="E5" s="7" t="inlineStr">
        <is>
          <t>2026-07-15</t>
        </is>
      </c>
      <c r="F5" s="38" t="n">
        <v>45</v>
      </c>
      <c r="G5" s="7" t="inlineStr">
        <is>
          <t>진행중</t>
        </is>
      </c>
      <c r="H5" s="9" t="n">
        <v>5000</v>
      </c>
      <c r="I5" s="9" t="n">
        <v>1800</v>
      </c>
      <c r="J5" s="8" t="inlineStr">
        <is>
          <t>인증 모듈 미완</t>
        </is>
      </c>
    </row>
    <row r="6">
      <c r="A6" s="36" t="inlineStr">
        <is>
          <t>마켓플레이스 리뉴얼</t>
        </is>
      </c>
      <c r="B6" s="7" t="inlineStr">
        <is>
          <t>윤소희</t>
        </is>
      </c>
      <c r="C6" s="7" t="inlineStr">
        <is>
          <t>🟢 보통</t>
        </is>
      </c>
      <c r="D6" s="7" t="inlineStr">
        <is>
          <t>2026-05-20</t>
        </is>
      </c>
      <c r="E6" s="7" t="inlineStr">
        <is>
          <t>2026-08-31</t>
        </is>
      </c>
      <c r="F6" s="38" t="n">
        <v>20</v>
      </c>
      <c r="G6" s="7" t="inlineStr">
        <is>
          <t>초기</t>
        </is>
      </c>
      <c r="H6" s="9" t="n">
        <v>2000</v>
      </c>
      <c r="I6" s="9" t="n">
        <v>300</v>
      </c>
      <c r="J6" s="8" t="inlineStr">
        <is>
          <t>기획 완료</t>
        </is>
      </c>
    </row>
    <row r="7">
      <c r="A7" s="8" t="inlineStr">
        <is>
          <t>모바일 앱 개발</t>
        </is>
      </c>
      <c r="B7" s="7" t="inlineStr">
        <is>
          <t>박지호</t>
        </is>
      </c>
      <c r="C7" s="7" t="inlineStr">
        <is>
          <t>🟡 높음</t>
        </is>
      </c>
      <c r="D7" s="7" t="inlineStr">
        <is>
          <t>2026-06-01</t>
        </is>
      </c>
      <c r="E7" s="7" t="inlineStr">
        <is>
          <t>2026-12-31</t>
        </is>
      </c>
      <c r="F7" s="38" t="n">
        <v>5</v>
      </c>
      <c r="G7" s="7" t="inlineStr">
        <is>
          <t>초기</t>
        </is>
      </c>
      <c r="H7" s="9" t="n">
        <v>8000</v>
      </c>
      <c r="I7" s="9" t="n">
        <v>400</v>
      </c>
      <c r="J7" s="8" t="inlineStr">
        <is>
          <t>팀 구성중</t>
        </is>
      </c>
    </row>
    <row r="8">
      <c r="A8" s="36" t="inlineStr">
        <is>
          <t>보안 감사 대응</t>
        </is>
      </c>
      <c r="B8" s="7" t="inlineStr">
        <is>
          <t>임도현</t>
        </is>
      </c>
      <c r="C8" s="7" t="inlineStr">
        <is>
          <t>🔴 긴급</t>
        </is>
      </c>
      <c r="D8" s="7" t="inlineStr">
        <is>
          <t>2026-05-28</t>
        </is>
      </c>
      <c r="E8" s="7" t="inlineStr">
        <is>
          <t>2026-06-15</t>
        </is>
      </c>
      <c r="F8" s="15" t="n">
        <v>90</v>
      </c>
      <c r="G8" s="7" t="inlineStr">
        <is>
          <t>완료예정</t>
        </is>
      </c>
      <c r="H8" s="9" t="n">
        <v>500</v>
      </c>
      <c r="I8" s="9" t="n">
        <v>480</v>
      </c>
      <c r="J8" s="8" t="inlineStr">
        <is>
          <t>최종 검토중</t>
        </is>
      </c>
    </row>
    <row r="9">
      <c r="A9" s="8" t="inlineStr">
        <is>
          <t>다국어 지원(JA/ZH)</t>
        </is>
      </c>
      <c r="B9" s="7" t="inlineStr">
        <is>
          <t>정다은</t>
        </is>
      </c>
      <c r="C9" s="7" t="inlineStr">
        <is>
          <t>🟢 보통</t>
        </is>
      </c>
      <c r="D9" s="7" t="inlineStr">
        <is>
          <t>2026-03-01</t>
        </is>
      </c>
      <c r="E9" s="7" t="inlineStr">
        <is>
          <t>2026-09-30</t>
        </is>
      </c>
      <c r="F9" s="37" t="n">
        <v>60</v>
      </c>
      <c r="G9" s="7" t="inlineStr">
        <is>
          <t>진행중</t>
        </is>
      </c>
      <c r="H9" s="9" t="n">
        <v>3500</v>
      </c>
      <c r="I9" s="9" t="n">
        <v>2100</v>
      </c>
      <c r="J9" s="8" t="inlineStr">
        <is>
          <t>일본어 80% 완료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2026-06-05T01:16:33Z</dcterms:created>
  <dcterms:modified xmlns:dcterms="http://purl.org/dc/terms/" xmlns:xsi="http://www.w3.org/2001/XMLSchema-instance" xsi:type="dcterms:W3CDTF">2026-06-05T01:16:33Z</dcterms:modified>
</cp:coreProperties>
</file>